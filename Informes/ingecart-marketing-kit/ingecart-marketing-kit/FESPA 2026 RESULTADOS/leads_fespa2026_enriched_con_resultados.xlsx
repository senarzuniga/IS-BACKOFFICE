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Inaki Senar\Documents\GitHub\IS-BACKOFFICE\ingecart-marketing-kit\FESPA 2026 RESULTADOS\"/>
    </mc:Choice>
  </mc:AlternateContent>
  <xr:revisionPtr revIDLastSave="0" documentId="13_ncr:1_{EC2C3C88-B4B5-41F9-B0FF-888965B444F2}"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Sheet1!$A$1:$AB$23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 i="1" l="1"/>
  <c r="K57" i="1"/>
</calcChain>
</file>

<file path=xl/sharedStrings.xml><?xml version="1.0" encoding="utf-8"?>
<sst xmlns="http://schemas.openxmlformats.org/spreadsheetml/2006/main" count="481" uniqueCount="288">
  <si>
    <t>Nombre</t>
  </si>
  <si>
    <t>Empresa</t>
  </si>
  <si>
    <t>Cargo</t>
  </si>
  <si>
    <t>País/Ciudad</t>
  </si>
  <si>
    <t>Teléfono</t>
  </si>
  <si>
    <t>Móvil</t>
  </si>
  <si>
    <t>Email</t>
  </si>
  <si>
    <t>Web</t>
  </si>
  <si>
    <t>Tipo de Contacto</t>
  </si>
  <si>
    <t>Notas / Interés</t>
  </si>
  <si>
    <t>Próxima Acción</t>
  </si>
  <si>
    <t>Company Context</t>
  </si>
  <si>
    <t>action_id</t>
  </si>
  <si>
    <t>name</t>
  </si>
  <si>
    <t>goal</t>
  </si>
  <si>
    <t>assigned_to_role</t>
  </si>
  <si>
    <t>comments</t>
  </si>
  <si>
    <t>created_at</t>
  </si>
  <si>
    <t>last_modified</t>
  </si>
  <si>
    <t>supportive_content_json</t>
  </si>
  <si>
    <t>required_info_json</t>
  </si>
  <si>
    <t>department</t>
  </si>
  <si>
    <t>priority</t>
  </si>
  <si>
    <t>Estado Acción</t>
  </si>
  <si>
    <t>Prioridad Acción</t>
  </si>
  <si>
    <t>Andrea Scotton</t>
  </si>
  <si>
    <t>Hany Korashi</t>
  </si>
  <si>
    <t>Alejandro Valencia R.</t>
  </si>
  <si>
    <t>David Alonso</t>
  </si>
  <si>
    <t>Manuel Insua</t>
  </si>
  <si>
    <t>Aurora Sánchez</t>
  </si>
  <si>
    <t>Oswaldo Padilla</t>
  </si>
  <si>
    <t>Chris / Nick Widera</t>
  </si>
  <si>
    <t>Bryan Fagan / Steve Wriker</t>
  </si>
  <si>
    <t>Peter Trusty</t>
  </si>
  <si>
    <t>Jolanta Ziemniak-Ronke</t>
  </si>
  <si>
    <t>Piotr Saffarini</t>
  </si>
  <si>
    <t>Giuseppe Gallucci</t>
  </si>
  <si>
    <t>Martin de Wit</t>
  </si>
  <si>
    <t>Mario Sánchez</t>
  </si>
  <si>
    <t>Albert Fernàndez</t>
  </si>
  <si>
    <t>Frederic Deliat</t>
  </si>
  <si>
    <t>Hyman</t>
  </si>
  <si>
    <t>Scotton SPA</t>
  </si>
  <si>
    <t>Royal Media</t>
  </si>
  <si>
    <t>Incutools Chile</t>
  </si>
  <si>
    <t>Valco Melton Spain</t>
  </si>
  <si>
    <t>Paniker</t>
  </si>
  <si>
    <t>Mosca Direct Spain S.L.U.</t>
  </si>
  <si>
    <t>Packmach</t>
  </si>
  <si>
    <t>SAICA</t>
  </si>
  <si>
    <t>Akers Pack</t>
  </si>
  <si>
    <t>TRG Pack / Display (Royal Group)</t>
  </si>
  <si>
    <t>TR Box</t>
  </si>
  <si>
    <t>Świat Druku / Polski Drukarz</t>
  </si>
  <si>
    <t>Rodinia Generation</t>
  </si>
  <si>
    <t>Elitron IPM s.r.l.</t>
  </si>
  <si>
    <t>Laserclean BV</t>
  </si>
  <si>
    <t>SMC España, S.A.U.</t>
  </si>
  <si>
    <t>DS Smith</t>
  </si>
  <si>
    <t>Royal Media (Egipto)</t>
  </si>
  <si>
    <t>DS Smith España</t>
  </si>
  <si>
    <t>Smurfit España</t>
  </si>
  <si>
    <t>Controllo di Gestione</t>
  </si>
  <si>
    <t>CEO / Owner</t>
  </si>
  <si>
    <t>Gerente General</t>
  </si>
  <si>
    <t>Cold Glue &amp; QA Specialist Sales Manager</t>
  </si>
  <si>
    <t>Director Comercial – Adhesives Paper &amp; Tissue</t>
  </si>
  <si>
    <t>Técnico Comercial</t>
  </si>
  <si>
    <t>Director General</t>
  </si>
  <si>
    <t>Presidenta / Directora Gerente</t>
  </si>
  <si>
    <t>Lead Automation &amp; Mechanical Engineer</t>
  </si>
  <si>
    <t>CEO</t>
  </si>
  <si>
    <t>Managing Director</t>
  </si>
  <si>
    <t>Business Development Manager</t>
  </si>
  <si>
    <t>Product Specialist</t>
  </si>
  <si>
    <t>Borso del Grappa, Treviso, Italia</t>
  </si>
  <si>
    <t>6 de Octubre, Egipto</t>
  </si>
  <si>
    <t>Santiago, Chile</t>
  </si>
  <si>
    <t>Orkoien, Navarra, España</t>
  </si>
  <si>
    <t>Sant Boi de Llobregat, Barcelona</t>
  </si>
  <si>
    <t>Montgat, Barcelona</t>
  </si>
  <si>
    <t>Los Robles, Zapopan, México</t>
  </si>
  <si>
    <t>Ohio, EE.UU.</t>
  </si>
  <si>
    <t>Illinois, EE.UU.</t>
  </si>
  <si>
    <t>Los Ángeles, EE.UU.</t>
  </si>
  <si>
    <t>Łódź, Polonia</t>
  </si>
  <si>
    <t>Copenhague, Dinamarca</t>
  </si>
  <si>
    <t>Monte Urano (FM), Italia</t>
  </si>
  <si>
    <t>Waddinxveen, Países Bajos</t>
  </si>
  <si>
    <t>Vitoria, Álava</t>
  </si>
  <si>
    <t>Sabadell, Barcelona</t>
  </si>
  <si>
    <t>Egipto</t>
  </si>
  <si>
    <t>España</t>
  </si>
  <si>
    <t>+39 0423 913330</t>
  </si>
  <si>
    <t>01222162385</t>
  </si>
  <si>
    <t>56 2 2735 3616 / 56 2 2777 5786</t>
  </si>
  <si>
    <t>+34 948 321 580</t>
  </si>
  <si>
    <t>+34 936 40 21 16</t>
  </si>
  <si>
    <t>+34 934 690 123</t>
  </si>
  <si>
    <t>332 469 2202</t>
  </si>
  <si>
    <t>+48 42 687 12 92 / +48 601 979 669</t>
  </si>
  <si>
    <t>+45 91 94 04 74</t>
  </si>
  <si>
    <t>+39 0734 842221</t>
  </si>
  <si>
    <t>+31 643574400</t>
  </si>
  <si>
    <t>+34 945 184 100</t>
  </si>
  <si>
    <t>+34 937 270 507</t>
  </si>
  <si>
    <t>9 640 7846</t>
  </si>
  <si>
    <t>+34 667 618 162</t>
  </si>
  <si>
    <t>+34 695 69 25 28</t>
  </si>
  <si>
    <t>+34 661 708 690</t>
  </si>
  <si>
    <t>331 986 4993</t>
  </si>
  <si>
    <t>+34 637 067 859</t>
  </si>
  <si>
    <t>+34 637 313 569</t>
  </si>
  <si>
    <t>andrea@scotton.it</t>
  </si>
  <si>
    <t>hany.h@royalmedia-eg.com</t>
  </si>
  <si>
    <t>avalencia@incutools.cl</t>
  </si>
  <si>
    <t>david.alonso@valcomelton.com</t>
  </si>
  <si>
    <t>manel.insua@paniker.com</t>
  </si>
  <si>
    <t>aurora.sanchez@mosca.com</t>
  </si>
  <si>
    <t>opadilla@packmach.mx</t>
  </si>
  <si>
    <t>biuro@swiatdruku.eu</t>
  </si>
  <si>
    <t>piotr@rodiniageneration.io</t>
  </si>
  <si>
    <t>giuseppe.gallucci@elitron.com</t>
  </si>
  <si>
    <t>martin@laserclean.nl</t>
  </si>
  <si>
    <t>sanchez.mario@smc.com</t>
  </si>
  <si>
    <t>fernandez.albert@smc.com</t>
  </si>
  <si>
    <t>frederic.deliat@dssmith.com</t>
  </si>
  <si>
    <t>www.royalmedia-eg.com</t>
  </si>
  <si>
    <t>www.incutools.cl</t>
  </si>
  <si>
    <t>valcomelton.com</t>
  </si>
  <si>
    <t>www.mosca.com</t>
  </si>
  <si>
    <t>www.packmach.mx</t>
  </si>
  <si>
    <t>www.swiatdruku.eu</t>
  </si>
  <si>
    <t>rodiniageneration.io</t>
  </si>
  <si>
    <t>www.elitron.com</t>
  </si>
  <si>
    <t>www.laserclean.nl</t>
  </si>
  <si>
    <t>www.smc.eu</t>
  </si>
  <si>
    <t>Cliente potencial</t>
  </si>
  <si>
    <t>Cliente potencial – AMR</t>
  </si>
  <si>
    <t>Integrador de Sistemas</t>
  </si>
  <si>
    <t>Proveedor</t>
  </si>
  <si>
    <t>Fabricante (Cliente potencial)</t>
  </si>
  <si>
    <t>Partner potencial</t>
  </si>
  <si>
    <t>Integrador / Cliente</t>
  </si>
  <si>
    <t>Partner / Proveedor</t>
  </si>
  <si>
    <t>Necesitan voltear cajas de cartón corrugado en línea. Muy interesados en ver más videos e información. P.I. 01981300245 / C.F. 00605260264</t>
  </si>
  <si>
    <t>Larga conversación con el CEO y el gerente de planta sobre automatización en su planta. Muy interesados en instalar un sistema AMR en sus instalaciones. Muy receptivos a avanzar. No hablan español – están en Egipto.</t>
  </si>
  <si>
    <t>Integrador de sistemas en Santiago</t>
  </si>
  <si>
    <t>Proveedor – dispensación de adhesivos</t>
  </si>
  <si>
    <t>Fabricante de papel/tissue – interés Plug&amp;Play</t>
  </si>
  <si>
    <t>Mosca – quiere trabajar juntos</t>
  </si>
  <si>
    <t>Interés en Plug&amp;Play</t>
  </si>
  <si>
    <t>Ariel tuvo una conversación con alguien de esta empresa. Pendiente identificar contacto y hacer seguimiento.</t>
  </si>
  <si>
    <t>ARM &amp; Plug&amp;Play</t>
  </si>
  <si>
    <t>Contacto en Ohio</t>
  </si>
  <si>
    <t>Royal Group – Illinois</t>
  </si>
  <si>
    <t>TR Box – LA</t>
  </si>
  <si>
    <t>Planta de corrugado en Polonia</t>
  </si>
  <si>
    <t>Planta textil AMR – Dinamarca</t>
  </si>
  <si>
    <t>Interés en AMR</t>
  </si>
  <si>
    <t>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</si>
  <si>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SMC – posible colaboración</t>
  </si>
  <si>
    <t>SMC España – fabricantes para colaborar</t>
  </si>
  <si>
    <t>Interesado en transfer y paletizador</t>
  </si>
  <si>
    <t>AMR – Royal Media Egipto</t>
  </si>
  <si>
    <t>Sin datos de contacto específicos aún. Empresa pendiente de asignar contacto.</t>
  </si>
  <si>
    <t>Seguimiento colaboración</t>
  </si>
  <si>
    <t>Evaluar sinergia con productos Ingecart</t>
  </si>
  <si>
    <t>Reunión para explorar colaboración</t>
  </si>
  <si>
    <t>Enviar propuesta Plug&amp;Play</t>
  </si>
  <si>
    <t>Ariel debe contactar – obtener nombre y datos del interlocutor</t>
  </si>
  <si>
    <t>Contactar para presentación</t>
  </si>
  <si>
    <t>Seguimiento</t>
  </si>
  <si>
    <t>Presentación solución corrugado</t>
  </si>
  <si>
    <t>Explorar acuerdo</t>
  </si>
  <si>
    <t>Reunión técnica</t>
  </si>
  <si>
    <t>Contactar para demo AMR</t>
  </si>
  <si>
    <t>Obtener contacto y agendar presentación</t>
  </si>
  <si>
    <t>Buscar web oficial: https://www.google.com/search?q=Scotton+SPA+sitio+oficial | Noticias: https://www.google.com/search?q=Scotton+SPA+noticias</t>
  </si>
  <si>
    <t>Web: www.royalmedia-eg.com | No se pudo obtener descripción web: Invalid URL 'www.royalmedia-eg.com': No scheme supplied. Perhaps you meant https://www.royalmedia-eg.com? | Noticias: https://www.google.com/search?q=Royal+Media+noticias</t>
  </si>
  <si>
    <t>Web: www.incutools.cl | No se pudo obtener descripción web: Invalid URL 'www.incutools.cl': No scheme supplied. Perhaps you meant https://www.incutools.cl? | Noticias: https://www.google.com/search?q=Incutools+Chile+noticias</t>
  </si>
  <si>
    <t>Web: valcomelton.com | No se pudo obtener descripción web: Invalid URL 'valcomelton.com': No scheme supplied. Perhaps you meant https://valcomelton.com? | Noticias: https://www.google.com/search?q=Valco+Melton+Spain+noticias</t>
  </si>
  <si>
    <t>Buscar web oficial: https://www.google.com/search?q=Paniker+sitio+oficial | Noticias: https://www.google.com/search?q=Paniker+noticias</t>
  </si>
  <si>
    <t>Web: www.mosca.com | No se pudo obtener descripción web: Invalid URL 'www.mosca.com': No scheme supplied. Perhaps you meant https://www.mosca.com? | Noticias: https://www.google.com/search?q=Mosca+Direct+Spain+S.L.U.+noticias</t>
  </si>
  <si>
    <t>Web: www.packmach.mx | No se pudo obtener descripción web: Invalid URL 'www.packmach.mx': No scheme supplied. Perhaps you meant https://www.packmach.mx? | Noticias: https://www.google.com/search?q=Packmach+noticias</t>
  </si>
  <si>
    <t>Buscar web oficial: https://www.google.com/search?q=SAICA+sitio+oficial | Noticias: https://www.google.com/search?q=SAICA+noticias</t>
  </si>
  <si>
    <t>Buscar web oficial: https://www.google.com/search?q=Car+Box+sitio+oficial | Noticias: https://www.google.com/search?q=Car+Box+noticias</t>
  </si>
  <si>
    <t>Web: rodiniageneration.io | No se pudo obtener descripción web: Invalid URL 'rodiniageneration.io': No scheme supplied. Perhaps you meant https://rodiniageneration.io? | Noticias: https://www.google.com/search?q=Rodinia+Generation+noticias</t>
  </si>
  <si>
    <t>Web: www.elitron.com | No se pudo obtener descripción web: Invalid URL 'www.elitron.com': No scheme supplied. Perhaps you meant https://www.elitron.com? | Noticias: https://www.google.com/search?q=Elitron+IPM+s.r.l.+noticias</t>
  </si>
  <si>
    <t>Web: www.laserclean.nl | No se pudo obtener descripción web: Invalid URL 'www.laserclean.nl': No scheme supplied. Perhaps you meant https://www.laserclean.nl? | Noticias: https://www.google.com/search?q=Laserclean+BV+noticias</t>
  </si>
  <si>
    <t>Web: www.smc.eu | No se pudo obtener descripción web: Invalid URL 'www.smc.eu': No scheme supplied. Perhaps you meant https://www.smc.eu? | Noticias: https://www.google.com/search?q=SMC+España,+S.A.U.+noticias</t>
  </si>
  <si>
    <t>Buscar web oficial: https://www.google.com/search?q=DS+Smith+sitio+oficial | Noticias: https://www.google.com/search?q=DS+Smith+noticias</t>
  </si>
  <si>
    <t>Buscar web oficial: https://www.google.com/search?q=Royal+Media+(Egipto)+sitio+oficial | Noticias: https://www.google.com/search?q=Royal+Media+(Egipto)+noticias</t>
  </si>
  <si>
    <t>Buscar web oficial: https://www.google.com/search?q=DS+Smith+España+sitio+oficial | Noticias: https://www.google.com/search?q=DS+Smith+España+noticias</t>
  </si>
  <si>
    <t>Buscar web oficial: https://www.google.com/search?q=Smurfit+España+sitio+oficial | Noticias: https://www.google.com/search?q=Smurfit+España+noticias</t>
  </si>
  <si>
    <t>c3aec049-f8db-4d56-b6fc-bff63a0f9c38</t>
  </si>
  <si>
    <t>a13a4f7f-6d31-475a-83dc-ac0b106b598f</t>
  </si>
  <si>
    <t>df53b9f5-7e14-47df-ab14-1ae7aadf741c</t>
  </si>
  <si>
    <t>210b83d9-8b05-4b8b-8d1d-fd0994343a73</t>
  </si>
  <si>
    <t>7e33b32d-a7e1-4f1b-8338-8053894670d2</t>
  </si>
  <si>
    <t>ab8110a2-14c1-4134-b9af-8cc0fb39d989</t>
  </si>
  <si>
    <t>19413cb4-6ccc-42c8-8163-05148e8b3789</t>
  </si>
  <si>
    <t>566ec8a6-99bd-4059-883f-336d67833b07</t>
  </si>
  <si>
    <t>42f419b6-0c77-46a0-8f94-4a06bacf5ab5</t>
  </si>
  <si>
    <t>83b6f134-9459-47e8-b81c-db87c5bf8e2a</t>
  </si>
  <si>
    <t>f978435f-4593-4f20-b020-037df8189399</t>
  </si>
  <si>
    <t>9e14b720-4f30-45f6-bed5-89602c6a5cb5</t>
  </si>
  <si>
    <t>b9e68697-1e66-4880-94e5-be56df17ce8c</t>
  </si>
  <si>
    <t>96518837-4651-45a2-ad08-c650a8145534</t>
  </si>
  <si>
    <t>9fb22792-404e-4b81-a216-18edb7a67532</t>
  </si>
  <si>
    <t>c16112f4-a46b-4651-aaa7-c2e04b521aed</t>
  </si>
  <si>
    <t>Contacto con Andrea Scotton (Scotton SPA)</t>
  </si>
  <si>
    <t>Contacto con Hany Korashi (Royal Media)</t>
  </si>
  <si>
    <t>Contacto con Alejandro Valencia R. (Incutools Chile)</t>
  </si>
  <si>
    <t>Contacto con David Alonso (Valco Melton Spain)</t>
  </si>
  <si>
    <t>Contacto con Manuel Insua (Paniker)</t>
  </si>
  <si>
    <t>Contacto con Aurora Sánchez (Mosca Direct Spain S.L.U.)</t>
  </si>
  <si>
    <t>Contacto con Oswaldo Padilla (Packmach)</t>
  </si>
  <si>
    <t>Contacto con Chris / Nick Widera (Car Box)</t>
  </si>
  <si>
    <t>Contacto con Peter Trusty (TR Box)</t>
  </si>
  <si>
    <t>Contacto con Jolanta Ziemniak-Ronke (Świat Druku / Polski Drukarz)</t>
  </si>
  <si>
    <t>Contacto con Piotr Saffarini (Rodinia Generation)</t>
  </si>
  <si>
    <t>Contacto con Giuseppe Gallucci (Elitron IPM s.r.l.)</t>
  </si>
  <si>
    <t>Contacto con Martin de Wit (Laserclean BV)</t>
  </si>
  <si>
    <t>Contacto con Mario Sánchez (SMC España, S.A.U.)</t>
  </si>
  <si>
    <t>Contacto con Albert Fernàndez (SMC España, S.A.U.)</t>
  </si>
  <si>
    <t>Contacto con Frederic Deliat (DS Smith)</t>
  </si>
  <si>
    <t>Convertir lead en oportunidad comercial. Necesitan voltear cajas de cartón corrugado en línea. Muy interesados en ver más videos e información. P.I. 01981300245 / C.F. 00605260264</t>
  </si>
  <si>
    <t>Convertir lead en oportunidad comercial. Larga conversación con el CEO y el gerente de planta sobre automatización en su planta. Muy interesados en instalar un sistema AMR en sus instalaciones. Muy receptivos a avanzar. No hablan español – están en Egipto.</t>
  </si>
  <si>
    <t>Convertir lead en oportunidad comercial. Integrador de sistemas en Santiago</t>
  </si>
  <si>
    <t>Convertir lead en oportunidad comercial. Proveedor – dispensación de adhesivos</t>
  </si>
  <si>
    <t>Convertir lead en oportunidad comercial. Fabricante de papel/tissue – interés Plug&amp;Play</t>
  </si>
  <si>
    <t>Convertir lead en oportunidad comercial. Mosca – quiere trabajar juntos</t>
  </si>
  <si>
    <t>Convertir lead en oportunidad comercial. Interés en Plug&amp;Play</t>
  </si>
  <si>
    <t>Convertir lead en oportunidad comercial. ARM &amp; Plug&amp;Play</t>
  </si>
  <si>
    <t>Convertir lead en oportunidad comercial. TR Box – LA</t>
  </si>
  <si>
    <t>Convertir lead en oportunidad comercial. Planta de corrugado en Polonia</t>
  </si>
  <si>
    <t>Convertir lead en oportunidad comercial. Planta textil AMR – Dinamarca</t>
  </si>
  <si>
    <t>Convertir lead en oportunidad comercial. Interés en AMR</t>
  </si>
  <si>
    <t>Convertir lead en oportunidad comercial. 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</si>
  <si>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Convertir lead en oportunidad comercial. SMC – posible colaboración</t>
  </si>
  <si>
    <t>Convertir lead en oportunidad comercial. SMC España – fabricantes para colaborar</t>
  </si>
  <si>
    <t>Convertir lead en oportunidad comercial. Interesado en transfer y paletizador</t>
  </si>
  <si>
    <t>Comercial</t>
  </si>
  <si>
    <t>open</t>
  </si>
  <si>
    <t>Enviar videos e información sobre solución flip/volteo de cajas corrugado | Contexto empresa: Buscar web oficial: https://www.google.com/search?q=Scotton+SPA+sitio+oficial | Noticias: https://www.google.com/search?q=Scotton+SPA+noticias</t>
  </si>
  <si>
    <t>Mantener contacto activo – enviar propuesta AMR | Contexto empresa: Web: www.royalmedia-eg.com | No se pudo obtener descripción web: Invalid URL 'www.royalmedia-eg.com': No scheme supplied. Perhaps you meant https://www.royalmedia-eg.com? | Noticias: https://www.google.com/search?q=Royal+Media+noticias</t>
  </si>
  <si>
    <t>Seguimiento colaboración | Contexto empresa: Web: www.incutools.cl | No se pudo obtener descripción web: Invalid URL 'www.incutools.cl': No scheme supplied. Perhaps you meant https://www.incutools.cl? | Noticias: https://www.google.com/search?q=Incutools+Chile+noticias</t>
  </si>
  <si>
    <t>Evaluar sinergia con productos Ingecart | Contexto empresa: Web: valcomelton.com | No se pudo obtener descripción web: Invalid URL 'valcomelton.com': No scheme supplied. Perhaps you meant https://valcomelton.com? | Noticias: https://www.google.com/search?q=Valco+Melton+Spain+noticias</t>
  </si>
  <si>
    <t>Demo Plug&amp;Play | Contexto empresa: Buscar web oficial: https://www.google.com/search?q=Paniker+sitio+oficial | Noticias: https://www.google.com/search?q=Paniker+noticias</t>
  </si>
  <si>
    <t>Reunión para explorar colaboración | Contexto empresa: Web: www.mosca.com | No se pudo obtener descripción web: Invalid URL 'www.mosca.com': No scheme supplied. Perhaps you meant https://www.mosca.com? | Noticias: https://www.google.com/search?q=Mosca+Direct+Spain+S.L.U.+noticias</t>
  </si>
  <si>
    <t>Enviar propuesta Plug&amp;Play | Contexto empresa: Web: www.packmach.mx | No se pudo obtener descripción web: Invalid URL 'www.packmach.mx': No scheme supplied. Perhaps you meant https://www.packmach.mx? | Noticias: https://www.google.com/search?q=Packmach+noticias</t>
  </si>
  <si>
    <t>Propuesta ARM + Plug&amp;Play | Contexto empresa: Buscar web oficial: https://www.google.com/search?q=Car+Box+sitio+oficial | Noticias: https://www.google.com/search?q=Car+Box+noticias</t>
  </si>
  <si>
    <t>Seguimiento | Contexto empresa: Buscar web oficial: https://www.google.com/search?q=TR+Box+sitio+oficial | Noticias: https://www.google.com/search?q=TR+Box+noticias</t>
  </si>
  <si>
    <t>Presentación solución corrugado | Contexto empresa: Web: www.swiatdruku.eu | No se pudo obtener descripción web: Invalid URL 'www.swiatdruku.eu': No scheme supplied. Perhaps you meant https://www.swiatdruku.eu? | Noticias: https://www.google.com/search?q=Świat+Druku+/+Polski+Drukarz+noticias</t>
  </si>
  <si>
    <t>Propuesta AMR textil | Contexto empresa: Web: rodiniageneration.io | No se pudo obtener descripción web: Invalid URL 'rodiniageneration.io': No scheme supplied. Perhaps you meant https://rodiniageneration.io? | Noticias: https://www.google.com/search?q=Rodinia+Generation+noticias</t>
  </si>
  <si>
    <t>Reunión AMR | Contexto empresa: Web: www.elitron.com | No se pudo obtener descripción web: Invalid URL 'www.elitron.com': No scheme supplied. Perhaps you meant https://www.elitron.com? | Noticias: https://www.google.com/search?q=Elitron+IPM+s.r.l.+noticias</t>
  </si>
  <si>
    <t>Evaluar partnership con Kristian como facilitador; sin urgencia | Contexto empresa: Web: www.laserclean.nl | No se pudo obtener descripción web: Invalid URL 'www.laserclean.nl': No scheme supplied. Perhaps you meant https://www.laserclean.nl? | Noticias: https://www.google.com/search?q=Laserclean+BV+noticias</t>
  </si>
  <si>
    <t>Explorar acuerdo | Contexto empresa: Web: www.smc.eu | No se pudo obtener descripción web: Invalid URL 'www.smc.eu': No scheme supplied. Perhaps you meant https://www.smc.eu? | Noticias: https://www.google.com/search?q=SMC+España,+S.A.U.+noticias</t>
  </si>
  <si>
    <t>Reunión técnica | Contexto empresa: Web: www.smc.eu | No se pudo obtener descripción web: Invalid URL 'www.smc.eu': No scheme supplied. Perhaps you meant https://www.smc.eu? | Noticias: https://www.google.com/search?q=SMC+España,+S.A.U.+noticias</t>
  </si>
  <si>
    <t>Enviar ficha técnica transfer + paletizador | Contexto empresa: Buscar web oficial: https://www.google.com/search?q=DS+Smith+sitio+oficial | Noticias: https://www.google.com/search?q=DS+Smith+noticias</t>
  </si>
  <si>
    <t>2026-05-25</t>
  </si>
  <si>
    <t>{}</t>
  </si>
  <si>
    <t>Commercial</t>
  </si>
  <si>
    <t>Alta</t>
  </si>
  <si>
    <t>Media</t>
  </si>
  <si>
    <t>PEDIR TEAMS_ Enviar videos e información sobre solución flip/volteo de cajas corrugado</t>
  </si>
  <si>
    <t>TEAMS Y PROPONER AGENTE_ Mantener contacto activo – enviar propuesta AMR</t>
  </si>
  <si>
    <t>TEAMS_ Demo Plug&amp;Play</t>
  </si>
  <si>
    <t>https://www.calbox.com/</t>
  </si>
  <si>
    <t>TEAMS ¿? Propuesta ARM + Plug&amp;Play/// Empresapequeña y flexible,</t>
  </si>
  <si>
    <t>Akers Packaging Service Group delivers outstanding, custom corrugated solutions on tight deadlines with high-quality products, meeting the needs of our customers. In essence, we show up with answers. We are family-owned and operated, and we take care of our customers like they are part of the family. Our primary focus has always been on service; meaning Akers Packaging works to understand our customers’ business needs completely &amp; provide the right custom corrugated solution, at the right time. We care about your business, and we respect the role we play in maintaining your product excellence.</t>
  </si>
  <si>
    <t>https://www.akers-pkg.com/what-we-do/</t>
  </si>
  <si>
    <t>Investigar y contactar/// son como Ingecart ofrecen servicios de todo tipo</t>
  </si>
  <si>
    <t>TRG Packaging and Display Solutions is a dynamic leader in packaging, box manufacturing, and display solutions, with a nationwide network of sales, design, manufacturing, and fulfillment locations to service your every request. Since 1922, one thing has not changed; our commitment to providing value-added solutions to the most demanding customers.</t>
  </si>
  <si>
    <t>Status</t>
  </si>
  <si>
    <t xml:space="preserve">
Company Name	Tr Box, Tapes, Etc., Inc
Entity type	General Corporation
Governing Agency	California Secretary of State
Document Number	2720588
Date Filed	February 14, 2005
Company Age	21 years 3 months
State	CA
Status	Active
Formed In	California
Standing	
Secretary of State	Good
Franchise Tax Board	Good
Agent	Good
Victims of Corporate Fraud Compensation Fund	Good
Type of Business	TR Box Tapes Etc Inc</t>
  </si>
  <si>
    <t>https://www.swiatdruku.eu/English es una revista!!! Coger sus noticias¿?</t>
  </si>
  <si>
    <t>Propuesta AMR textil /// son integradores de tecnologia, el plug and play y AMRs puede ser muy util para ellos</t>
  </si>
  <si>
    <t>Reunión AMR /// son empresa de automatizacoin puede interesar colaborar en otras industrias</t>
  </si>
  <si>
    <r>
      <t xml:space="preserve">Evaluar partnership con Kristian como facilitador; sin urgencia /// </t>
    </r>
    <r>
      <rPr>
        <sz val="11"/>
        <color rgb="FFFF0000"/>
        <rFont val="Calibri"/>
        <family val="2"/>
        <scheme val="minor"/>
      </rPr>
      <t>COPETENCIA DE VILCHEZ</t>
    </r>
  </si>
  <si>
    <t>TEAMS Enviar ficha técnica transfer + paletizador</t>
  </si>
  <si>
    <t>Column1</t>
  </si>
  <si>
    <t>Prioridad</t>
  </si>
  <si>
    <t>status2</t>
  </si>
  <si>
    <t>Open</t>
  </si>
  <si>
    <t>On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</si>
</sst>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u/>
      <sz val="11"/>
      <color theme="10"/>
      <name val="Calibri"/>
      <family val="2"/>
      <scheme val="minor"/>
    </font>
    <font>
      <sz val="10"/>
      <color rgb="FF001E62"/>
      <name val="Arial"/>
      <family val="2"/>
    </font>
    <font>
      <sz val="11"/>
      <color rgb="FF333232"/>
      <name val="Arial"/>
      <family val="2"/>
    </font>
    <font>
      <sz val="10"/>
      <color rgb="FF00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0" fillId="2" borderId="0" xfId="0" applyFill="1"/>
    <xf numFmtId="0" fontId="0" fillId="3" borderId="0" xfId="0" applyFill="1"/>
    <xf numFmtId="0" fontId="4" fillId="2" borderId="0" xfId="0" applyFont="1" applyFill="1" applyAlignment="1">
      <alignment wrapText="1"/>
    </xf>
    <xf numFmtId="0" fontId="0" fillId="4" borderId="0" xfId="0" applyFill="1"/>
    <xf numFmtId="0" fontId="0" fillId="3" borderId="0" xfId="0" applyFill="1" applyAlignment="1">
      <alignment horizontal="left" vertical="center" wrapText="1"/>
    </xf>
    <xf numFmtId="0" fontId="0" fillId="3" borderId="0" xfId="0" applyFill="1" applyAlignment="1">
      <alignment horizontal="left" vertical="top" wrapText="1"/>
    </xf>
    <xf numFmtId="0" fontId="0" fillId="5" borderId="0" xfId="0" applyFill="1"/>
    <xf numFmtId="0" fontId="0" fillId="4" borderId="0" xfId="0" applyFill="1" applyAlignment="1">
      <alignment horizontal="left" vertical="center" wrapText="1"/>
    </xf>
    <xf numFmtId="0" fontId="0" fillId="4" borderId="0" xfId="0" applyFill="1" applyAlignment="1">
      <alignment horizontal="left" vertical="top" wrapText="1"/>
    </xf>
    <xf numFmtId="0" fontId="0" fillId="5" borderId="0" xfId="0" applyFill="1" applyAlignment="1">
      <alignment horizontal="left" vertical="center" wrapText="1"/>
    </xf>
    <xf numFmtId="0" fontId="0" fillId="5" borderId="0" xfId="0" applyFill="1" applyAlignment="1">
      <alignment horizontal="left" vertical="top" wrapText="1"/>
    </xf>
    <xf numFmtId="0" fontId="0" fillId="6" borderId="0" xfId="0" applyFill="1"/>
    <xf numFmtId="0" fontId="2" fillId="4" borderId="0" xfId="1" applyFill="1" applyBorder="1" applyAlignment="1">
      <alignment horizontal="left" vertical="center" wrapText="1"/>
    </xf>
    <xf numFmtId="0" fontId="3" fillId="4" borderId="0" xfId="0" applyFont="1" applyFill="1" applyAlignment="1">
      <alignment wrapText="1"/>
    </xf>
    <xf numFmtId="0" fontId="0" fillId="6" borderId="0" xfId="0" applyFill="1" applyAlignment="1">
      <alignment horizontal="left" vertical="center" wrapText="1"/>
    </xf>
    <xf numFmtId="0" fontId="0" fillId="6" borderId="0" xfId="0" applyFill="1" applyAlignment="1">
      <alignment horizontal="left" vertical="top" wrapText="1"/>
    </xf>
    <xf numFmtId="0" fontId="2" fillId="3" borderId="0" xfId="1" applyFill="1" applyBorder="1" applyAlignment="1">
      <alignment horizontal="left" vertical="center" wrapText="1"/>
    </xf>
    <xf numFmtId="0" fontId="2" fillId="5" borderId="0" xfId="1" applyFill="1" applyBorder="1" applyAlignment="1">
      <alignment horizontal="left" vertical="center" wrapText="1"/>
    </xf>
    <xf numFmtId="0" fontId="2" fillId="2" borderId="0" xfId="1" applyFill="1" applyAlignment="1">
      <alignment horizontal="left" vertical="center" wrapText="1"/>
    </xf>
    <xf numFmtId="0" fontId="5" fillId="0" borderId="0" xfId="0" applyFont="1"/>
  </cellXfs>
  <cellStyles count="2">
    <cellStyle name="Hyperlink" xfId="1" builtinId="8"/>
    <cellStyle name="Normal" xfId="0" builtinId="0"/>
  </cellStyles>
  <dxfs count="29">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alignment horizontal="left" vertical="top"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3145A-ED03-47C6-BAA1-3E802D4C93CE}" name="Table1" displayName="Table1" ref="A1:AC23" totalsRowShown="0" dataDxfId="28">
  <autoFilter ref="A1:AC23" xr:uid="{F313145A-ED03-47C6-BAA1-3E802D4C93CE}"/>
  <tableColumns count="29">
    <tableColumn id="1" xr3:uid="{E4C3C7BA-3379-4E8B-910D-3348E907BBB3}" name="Nombre" dataDxfId="27"/>
    <tableColumn id="28" xr3:uid="{97EAC06C-B347-4199-BFF6-77B40382CB4D}" name="Prioridad" dataDxfId="26"/>
    <tableColumn id="29" xr3:uid="{759D1143-D7D7-4028-BF43-D8EF34998E4D}" name="Status" dataDxfId="25"/>
    <tableColumn id="2" xr3:uid="{4DBBBA8B-144D-44C0-B950-BAFB5AAB4549}" name="Empresa" dataDxfId="24"/>
    <tableColumn id="3" xr3:uid="{66743A25-54B9-4A7D-B3C1-E187DE106F22}" name="Cargo" dataDxfId="23"/>
    <tableColumn id="4" xr3:uid="{1A61BF6E-7588-4EAD-9605-06B676709F1A}" name="País/Ciudad" dataDxfId="22"/>
    <tableColumn id="5" xr3:uid="{4BFD4D12-6489-4FE2-BEED-D33F71FE5001}" name="Teléfono" dataDxfId="21"/>
    <tableColumn id="6" xr3:uid="{340FC02E-D0D2-4688-88CC-D85BA8ACB3B4}" name="Móvil" dataDxfId="20"/>
    <tableColumn id="7" xr3:uid="{6F33A94C-49E2-4CC6-9F86-5A8F1AC68F12}" name="Email" dataDxfId="19"/>
    <tableColumn id="8" xr3:uid="{739368B2-4CD8-4A33-A8BE-359D41F0601D}" name="Web" dataDxfId="18"/>
    <tableColumn id="9" xr3:uid="{D6BC1F55-E1AD-4F46-A02B-2400DC2DACE9}" name="Tipo de Contacto" dataDxfId="17"/>
    <tableColumn id="10" xr3:uid="{FD52E237-F27C-4644-8127-83FEBAB38AAC}" name="Notas / Interés" dataDxfId="16"/>
    <tableColumn id="11" xr3:uid="{E429EB57-CC9C-439E-8896-74E364FFA9BB}" name="Próxima Acción" dataDxfId="15"/>
    <tableColumn id="12" xr3:uid="{EC59D212-38FE-4E85-BB64-FC5865936C91}" name="Company Context" dataDxfId="14"/>
    <tableColumn id="13" xr3:uid="{7F85D0DD-B24F-48BD-9581-948F5A2A35BE}" name="action_id" dataDxfId="13"/>
    <tableColumn id="14" xr3:uid="{7BE784D6-095C-4655-AE4D-9EF6CB75A02F}" name="name" dataDxfId="12"/>
    <tableColumn id="15" xr3:uid="{1685C55A-1690-426C-B7F1-454FCE72F5EA}" name="goal" dataDxfId="11"/>
    <tableColumn id="16" xr3:uid="{376A68A4-0DE0-4CC9-A4DF-C7B12DA7A395}" name="assigned_to_role" dataDxfId="10"/>
    <tableColumn id="17" xr3:uid="{D15BEEA5-6DC3-4099-8F16-6A38D6AB6700}" name="status2" dataDxfId="9"/>
    <tableColumn id="18" xr3:uid="{A1D8B3A0-8C90-4284-B1EA-6FAE7A9DBA5A}" name="comments" dataDxfId="8"/>
    <tableColumn id="19" xr3:uid="{500C84D3-7CBA-49F2-87EF-D60D43A13BB3}" name="created_at" dataDxfId="7"/>
    <tableColumn id="20" xr3:uid="{CD84E2C7-1218-4DF6-B55C-D46F10AC1987}" name="last_modified" dataDxfId="6"/>
    <tableColumn id="21" xr3:uid="{378F3991-7A6E-4747-93A4-ADA0A436EA2D}" name="supportive_content_json" dataDxfId="5"/>
    <tableColumn id="22" xr3:uid="{A876EBE6-FDD3-45E0-8012-C167128E1EE8}" name="required_info_json" dataDxfId="4"/>
    <tableColumn id="23" xr3:uid="{9A2870F9-4544-4F93-8F41-D0ABB9EC435C}" name="department" dataDxfId="3"/>
    <tableColumn id="24" xr3:uid="{A679D6D4-974B-479D-91BE-6270A9A485C5}" name="priority" dataDxfId="2"/>
    <tableColumn id="25" xr3:uid="{6BEEC476-386F-42C3-906E-68BA72CE3068}" name="Estado Acción" dataDxfId="1"/>
    <tableColumn id="26" xr3:uid="{8EC01022-CCA0-497C-BE45-EFCE78A3BAC9}" name="Prioridad Acción" dataDxfId="0"/>
    <tableColumn id="27" xr3:uid="{1E14D857-B758-47DA-89BA-29CA94162101}" name="Column1"/>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ndrea@scotton.it" TargetMode="External"/><Relationship Id="rId3" Type="http://schemas.openxmlformats.org/officeDocument/2006/relationships/hyperlink" Target="https://www.swiatdruku.eu/English%20es%20una%20revista!!!%20Coger%20sus%20noticias&#191;?" TargetMode="External"/><Relationship Id="rId7" Type="http://schemas.openxmlformats.org/officeDocument/2006/relationships/hyperlink" Target="mailto:frederic.deliat@dssmith.com" TargetMode="External"/><Relationship Id="rId2" Type="http://schemas.openxmlformats.org/officeDocument/2006/relationships/hyperlink" Target="mailto:biuro@swiatdruku.eu" TargetMode="External"/><Relationship Id="rId1" Type="http://schemas.openxmlformats.org/officeDocument/2006/relationships/hyperlink" Target="https://www.akers-pkg.com/what-we-do/" TargetMode="External"/><Relationship Id="rId6" Type="http://schemas.openxmlformats.org/officeDocument/2006/relationships/hyperlink" Target="mailto:martin@laserclean.nl" TargetMode="External"/><Relationship Id="rId11" Type="http://schemas.openxmlformats.org/officeDocument/2006/relationships/table" Target="../tables/table1.xml"/><Relationship Id="rId5" Type="http://schemas.openxmlformats.org/officeDocument/2006/relationships/hyperlink" Target="mailto:giuseppe.gallucci@elitron.com" TargetMode="External"/><Relationship Id="rId10" Type="http://schemas.openxmlformats.org/officeDocument/2006/relationships/hyperlink" Target="mailto:manel.insua@paniker.com" TargetMode="External"/><Relationship Id="rId4" Type="http://schemas.openxmlformats.org/officeDocument/2006/relationships/hyperlink" Target="mailto:piotr@rodiniageneration.io" TargetMode="External"/><Relationship Id="rId9" Type="http://schemas.openxmlformats.org/officeDocument/2006/relationships/hyperlink" Target="mailto:hany.h@royalmedia-e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
  <sheetViews>
    <sheetView tabSelected="1" topLeftCell="A22" workbookViewId="0">
      <selection activeCell="L28" sqref="L26:L28"/>
    </sheetView>
  </sheetViews>
  <sheetFormatPr defaultRowHeight="14.4" x14ac:dyDescent="0.3"/>
  <cols>
    <col min="1" max="2" width="13.6640625" style="1" customWidth="1"/>
    <col min="3" max="3" width="10.33203125" style="1" customWidth="1"/>
    <col min="4" max="4" width="8.88671875" style="1"/>
    <col min="5" max="5" width="16.6640625" style="1" customWidth="1"/>
    <col min="6" max="6" width="10.6640625" style="1" customWidth="1"/>
    <col min="7" max="7" width="8.88671875" style="1"/>
    <col min="8" max="8" width="14.21875" style="1" customWidth="1"/>
    <col min="9" max="9" width="8.88671875" style="1"/>
    <col min="10" max="10" width="17.33203125" style="1" customWidth="1"/>
    <col min="11" max="11" width="28.6640625" style="1" customWidth="1"/>
    <col min="12" max="12" width="37.77734375" style="1" customWidth="1"/>
    <col min="13" max="13" width="33.33203125" style="1" customWidth="1"/>
    <col min="14" max="14" width="10.88671875" style="1" customWidth="1"/>
    <col min="15" max="15" width="8.88671875" style="1"/>
    <col min="16" max="16" width="47.6640625" style="1" customWidth="1"/>
    <col min="17" max="17" width="17.6640625" style="1" customWidth="1"/>
    <col min="18" max="18" width="8.88671875" style="1"/>
    <col min="19" max="19" width="55.5546875" style="2" customWidth="1"/>
    <col min="20" max="20" width="12.109375" customWidth="1"/>
    <col min="21" max="21" width="14.88671875" customWidth="1"/>
    <col min="22" max="22" width="24.44140625" customWidth="1"/>
    <col min="23" max="23" width="19.44140625" customWidth="1"/>
    <col min="24" max="24" width="13.21875" customWidth="1"/>
    <col min="25" max="25" width="9.33203125" customWidth="1"/>
    <col min="26" max="26" width="14.77734375" customWidth="1"/>
    <col min="27" max="27" width="17" customWidth="1"/>
    <col min="28" max="28" width="10.5546875" customWidth="1"/>
  </cols>
  <sheetData>
    <row r="1" spans="1:29" ht="28.8" x14ac:dyDescent="0.3">
      <c r="A1" s="1" t="s">
        <v>0</v>
      </c>
      <c r="B1" s="1" t="s">
        <v>284</v>
      </c>
      <c r="C1" s="1" t="s">
        <v>276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285</v>
      </c>
      <c r="T1" s="2" t="s">
        <v>16</v>
      </c>
      <c r="U1" t="s">
        <v>17</v>
      </c>
      <c r="V1" t="s">
        <v>18</v>
      </c>
      <c r="W1" t="s">
        <v>19</v>
      </c>
      <c r="X1" t="s">
        <v>20</v>
      </c>
      <c r="Y1" t="s">
        <v>21</v>
      </c>
      <c r="Z1" t="s">
        <v>22</v>
      </c>
      <c r="AA1" t="s">
        <v>23</v>
      </c>
      <c r="AB1" t="s">
        <v>24</v>
      </c>
      <c r="AC1" t="s">
        <v>283</v>
      </c>
    </row>
    <row r="2" spans="1:29" s="5" customFormat="1" ht="110.4" customHeight="1" x14ac:dyDescent="0.3">
      <c r="A2" s="3" t="s">
        <v>25</v>
      </c>
      <c r="B2" s="3">
        <v>1</v>
      </c>
      <c r="C2" s="3" t="s">
        <v>286</v>
      </c>
      <c r="D2" s="3" t="s">
        <v>43</v>
      </c>
      <c r="E2" s="3" t="s">
        <v>63</v>
      </c>
      <c r="F2" s="3" t="s">
        <v>76</v>
      </c>
      <c r="G2" s="3" t="s">
        <v>94</v>
      </c>
      <c r="H2" s="3"/>
      <c r="I2" s="23" t="s">
        <v>114</v>
      </c>
      <c r="J2" s="3"/>
      <c r="K2" s="3" t="s">
        <v>138</v>
      </c>
      <c r="L2" s="3" t="s">
        <v>146</v>
      </c>
      <c r="M2" s="3" t="s">
        <v>267</v>
      </c>
      <c r="N2" s="3" t="s">
        <v>179</v>
      </c>
      <c r="O2" s="3" t="s">
        <v>196</v>
      </c>
      <c r="P2" s="3" t="s">
        <v>212</v>
      </c>
      <c r="Q2" s="3" t="s">
        <v>228</v>
      </c>
      <c r="R2" s="3" t="s">
        <v>244</v>
      </c>
      <c r="S2" s="3" t="s">
        <v>245</v>
      </c>
      <c r="T2" s="4" t="s">
        <v>246</v>
      </c>
      <c r="U2" s="5" t="s">
        <v>262</v>
      </c>
      <c r="V2" s="5" t="s">
        <v>262</v>
      </c>
      <c r="W2" s="5" t="s">
        <v>263</v>
      </c>
      <c r="X2" s="5" t="s">
        <v>263</v>
      </c>
      <c r="Y2" s="5" t="s">
        <v>264</v>
      </c>
      <c r="Z2" s="5" t="s">
        <v>265</v>
      </c>
      <c r="AA2" s="5" t="s">
        <v>245</v>
      </c>
      <c r="AB2" s="5" t="s">
        <v>265</v>
      </c>
    </row>
    <row r="3" spans="1:29" s="5" customFormat="1" ht="113.4" customHeight="1" x14ac:dyDescent="0.3">
      <c r="A3" s="3" t="s">
        <v>26</v>
      </c>
      <c r="B3" s="3">
        <v>1</v>
      </c>
      <c r="C3" s="3" t="s">
        <v>286</v>
      </c>
      <c r="D3" s="3" t="s">
        <v>44</v>
      </c>
      <c r="E3" s="3" t="s">
        <v>64</v>
      </c>
      <c r="F3" s="3" t="s">
        <v>77</v>
      </c>
      <c r="G3" s="3" t="s">
        <v>95</v>
      </c>
      <c r="H3" s="3"/>
      <c r="I3" s="23" t="s">
        <v>115</v>
      </c>
      <c r="J3" s="3" t="s">
        <v>128</v>
      </c>
      <c r="K3" s="3" t="s">
        <v>139</v>
      </c>
      <c r="L3" s="3" t="s">
        <v>147</v>
      </c>
      <c r="M3" s="3" t="s">
        <v>268</v>
      </c>
      <c r="N3" s="3" t="s">
        <v>180</v>
      </c>
      <c r="O3" s="3" t="s">
        <v>197</v>
      </c>
      <c r="P3" s="3" t="s">
        <v>213</v>
      </c>
      <c r="Q3" s="3" t="s">
        <v>229</v>
      </c>
      <c r="R3" s="3" t="s">
        <v>244</v>
      </c>
      <c r="S3" s="3" t="s">
        <v>245</v>
      </c>
      <c r="T3" s="4" t="s">
        <v>247</v>
      </c>
      <c r="U3" s="5" t="s">
        <v>262</v>
      </c>
      <c r="V3" s="5" t="s">
        <v>262</v>
      </c>
      <c r="W3" s="5" t="s">
        <v>263</v>
      </c>
      <c r="X3" s="5" t="s">
        <v>263</v>
      </c>
      <c r="Y3" s="5" t="s">
        <v>264</v>
      </c>
      <c r="Z3" s="5" t="s">
        <v>265</v>
      </c>
      <c r="AA3" s="5" t="s">
        <v>245</v>
      </c>
      <c r="AB3" s="5" t="s">
        <v>265</v>
      </c>
    </row>
    <row r="4" spans="1:29" s="6" customFormat="1" ht="216" x14ac:dyDescent="0.3">
      <c r="A4" s="3" t="s">
        <v>29</v>
      </c>
      <c r="B4" s="3">
        <v>1</v>
      </c>
      <c r="C4" s="3" t="s">
        <v>286</v>
      </c>
      <c r="D4" s="3" t="s">
        <v>47</v>
      </c>
      <c r="E4" s="3" t="s">
        <v>67</v>
      </c>
      <c r="F4" s="3" t="s">
        <v>80</v>
      </c>
      <c r="G4" s="3" t="s">
        <v>98</v>
      </c>
      <c r="H4" s="3" t="s">
        <v>109</v>
      </c>
      <c r="I4" s="23" t="s">
        <v>118</v>
      </c>
      <c r="J4" s="3"/>
      <c r="K4" s="3" t="s">
        <v>142</v>
      </c>
      <c r="L4" s="3" t="s">
        <v>150</v>
      </c>
      <c r="M4" s="3" t="s">
        <v>269</v>
      </c>
      <c r="N4" s="3" t="s">
        <v>183</v>
      </c>
      <c r="O4" s="3" t="s">
        <v>200</v>
      </c>
      <c r="P4" s="3" t="s">
        <v>216</v>
      </c>
      <c r="Q4" s="3" t="s">
        <v>232</v>
      </c>
      <c r="R4" s="3" t="s">
        <v>244</v>
      </c>
      <c r="S4" s="3" t="s">
        <v>245</v>
      </c>
      <c r="T4" s="4" t="s">
        <v>250</v>
      </c>
      <c r="U4" s="5" t="s">
        <v>262</v>
      </c>
      <c r="V4" s="5" t="s">
        <v>262</v>
      </c>
      <c r="W4" s="5" t="s">
        <v>263</v>
      </c>
      <c r="X4" s="5" t="s">
        <v>263</v>
      </c>
      <c r="Y4" s="5" t="s">
        <v>264</v>
      </c>
      <c r="Z4" s="5" t="s">
        <v>266</v>
      </c>
      <c r="AA4" s="5" t="s">
        <v>245</v>
      </c>
      <c r="AB4" s="5" t="s">
        <v>266</v>
      </c>
    </row>
    <row r="5" spans="1:29" s="6" customFormat="1" ht="409.6" x14ac:dyDescent="0.3">
      <c r="A5" s="3" t="s">
        <v>33</v>
      </c>
      <c r="B5" s="3">
        <v>1</v>
      </c>
      <c r="C5" s="3" t="s">
        <v>286</v>
      </c>
      <c r="D5" s="3" t="s">
        <v>52</v>
      </c>
      <c r="E5" s="3"/>
      <c r="F5" s="3" t="s">
        <v>84</v>
      </c>
      <c r="G5" s="3"/>
      <c r="H5" s="3"/>
      <c r="I5" s="3"/>
      <c r="J5" s="3"/>
      <c r="K5" s="3" t="s">
        <v>138</v>
      </c>
      <c r="L5" s="3" t="s">
        <v>156</v>
      </c>
      <c r="M5" s="3" t="s">
        <v>172</v>
      </c>
      <c r="N5" s="7" t="s">
        <v>275</v>
      </c>
      <c r="O5" s="3"/>
      <c r="P5" s="3"/>
      <c r="Q5" s="3"/>
      <c r="R5" s="3"/>
      <c r="S5" s="3"/>
      <c r="T5" s="4"/>
      <c r="U5" s="5"/>
      <c r="V5" s="5"/>
      <c r="W5" s="5"/>
      <c r="X5" s="5"/>
      <c r="Y5" s="5"/>
      <c r="Z5" s="5"/>
      <c r="AA5" s="5"/>
      <c r="AB5" s="5"/>
    </row>
    <row r="6" spans="1:29" s="5" customFormat="1" ht="273.60000000000002" x14ac:dyDescent="0.3">
      <c r="A6" s="3" t="s">
        <v>41</v>
      </c>
      <c r="B6" s="3">
        <v>1</v>
      </c>
      <c r="C6" s="3" t="s">
        <v>286</v>
      </c>
      <c r="D6" s="3" t="s">
        <v>59</v>
      </c>
      <c r="E6" s="3"/>
      <c r="F6" s="3"/>
      <c r="G6" s="3"/>
      <c r="H6" s="3"/>
      <c r="I6" s="23" t="s">
        <v>127</v>
      </c>
      <c r="J6" s="3"/>
      <c r="K6" s="3" t="s">
        <v>138</v>
      </c>
      <c r="L6" s="3" t="s">
        <v>164</v>
      </c>
      <c r="M6" s="3" t="s">
        <v>282</v>
      </c>
      <c r="N6" s="3" t="s">
        <v>192</v>
      </c>
      <c r="O6" s="3" t="s">
        <v>211</v>
      </c>
      <c r="P6" s="3" t="s">
        <v>227</v>
      </c>
      <c r="Q6" s="3" t="s">
        <v>243</v>
      </c>
      <c r="R6" s="3" t="s">
        <v>244</v>
      </c>
      <c r="S6" s="3" t="s">
        <v>245</v>
      </c>
      <c r="T6" s="4" t="s">
        <v>261</v>
      </c>
      <c r="U6" s="5" t="s">
        <v>262</v>
      </c>
      <c r="V6" s="5" t="s">
        <v>262</v>
      </c>
      <c r="W6" s="5" t="s">
        <v>263</v>
      </c>
      <c r="X6" s="5" t="s">
        <v>263</v>
      </c>
      <c r="Y6" s="5" t="s">
        <v>264</v>
      </c>
      <c r="Z6" s="5" t="s">
        <v>266</v>
      </c>
      <c r="AA6" s="5" t="s">
        <v>245</v>
      </c>
      <c r="AB6" s="5" t="s">
        <v>266</v>
      </c>
    </row>
    <row r="7" spans="1:29" s="8" customFormat="1" ht="216" x14ac:dyDescent="0.3">
      <c r="A7" s="3"/>
      <c r="B7" s="3">
        <v>1</v>
      </c>
      <c r="C7" s="3" t="s">
        <v>286</v>
      </c>
      <c r="D7" s="3" t="s">
        <v>62</v>
      </c>
      <c r="E7" s="3"/>
      <c r="F7" s="3" t="s">
        <v>93</v>
      </c>
      <c r="G7" s="3"/>
      <c r="H7" s="3"/>
      <c r="I7" s="3"/>
      <c r="J7" s="3"/>
      <c r="K7" s="3" t="s">
        <v>138</v>
      </c>
      <c r="L7" s="3" t="s">
        <v>166</v>
      </c>
      <c r="M7" s="3" t="s">
        <v>178</v>
      </c>
      <c r="N7" s="3" t="s">
        <v>195</v>
      </c>
      <c r="O7" s="3"/>
      <c r="P7" s="3"/>
      <c r="Q7" s="3"/>
      <c r="R7" s="3"/>
      <c r="S7" s="3"/>
      <c r="T7" s="4"/>
      <c r="U7" s="5"/>
      <c r="V7" s="5"/>
      <c r="W7" s="5"/>
      <c r="X7" s="5"/>
      <c r="Y7" s="5"/>
      <c r="Z7" s="5"/>
      <c r="AA7" s="5"/>
      <c r="AB7" s="5"/>
    </row>
    <row r="8" spans="1:29" s="8" customFormat="1" ht="360" x14ac:dyDescent="0.3">
      <c r="A8" s="9" t="s">
        <v>27</v>
      </c>
      <c r="B8" s="9">
        <v>2</v>
      </c>
      <c r="C8" s="3" t="s">
        <v>286</v>
      </c>
      <c r="D8" s="9" t="s">
        <v>45</v>
      </c>
      <c r="E8" s="9" t="s">
        <v>65</v>
      </c>
      <c r="F8" s="9" t="s">
        <v>78</v>
      </c>
      <c r="G8" s="9" t="s">
        <v>96</v>
      </c>
      <c r="H8" s="9" t="s">
        <v>107</v>
      </c>
      <c r="I8" s="9" t="s">
        <v>116</v>
      </c>
      <c r="J8" s="9" t="s">
        <v>129</v>
      </c>
      <c r="K8" s="9" t="s">
        <v>140</v>
      </c>
      <c r="L8" s="9" t="s">
        <v>148</v>
      </c>
      <c r="M8" s="9" t="s">
        <v>167</v>
      </c>
      <c r="N8" s="9" t="s">
        <v>181</v>
      </c>
      <c r="O8" s="9" t="s">
        <v>198</v>
      </c>
      <c r="P8" s="9" t="s">
        <v>214</v>
      </c>
      <c r="Q8" s="9" t="s">
        <v>230</v>
      </c>
      <c r="R8" s="9" t="s">
        <v>244</v>
      </c>
      <c r="S8" s="9" t="s">
        <v>245</v>
      </c>
      <c r="T8" s="10" t="s">
        <v>248</v>
      </c>
      <c r="U8" s="6" t="s">
        <v>262</v>
      </c>
      <c r="V8" s="6" t="s">
        <v>262</v>
      </c>
      <c r="W8" s="6" t="s">
        <v>263</v>
      </c>
      <c r="X8" s="6" t="s">
        <v>263</v>
      </c>
      <c r="Y8" s="6" t="s">
        <v>264</v>
      </c>
      <c r="Z8" s="6" t="s">
        <v>266</v>
      </c>
      <c r="AA8" s="6" t="s">
        <v>245</v>
      </c>
      <c r="AB8" s="6" t="s">
        <v>266</v>
      </c>
    </row>
    <row r="9" spans="1:29" s="11" customFormat="1" ht="388.8" x14ac:dyDescent="0.3">
      <c r="A9" s="9" t="s">
        <v>28</v>
      </c>
      <c r="B9" s="9">
        <v>2</v>
      </c>
      <c r="C9" s="3" t="s">
        <v>286</v>
      </c>
      <c r="D9" s="9" t="s">
        <v>46</v>
      </c>
      <c r="E9" s="9" t="s">
        <v>66</v>
      </c>
      <c r="F9" s="9" t="s">
        <v>79</v>
      </c>
      <c r="G9" s="9" t="s">
        <v>97</v>
      </c>
      <c r="H9" s="9" t="s">
        <v>108</v>
      </c>
      <c r="I9" s="9" t="s">
        <v>117</v>
      </c>
      <c r="J9" s="9" t="s">
        <v>130</v>
      </c>
      <c r="K9" s="9" t="s">
        <v>141</v>
      </c>
      <c r="L9" s="9" t="s">
        <v>149</v>
      </c>
      <c r="M9" s="9" t="s">
        <v>168</v>
      </c>
      <c r="N9" s="9" t="s">
        <v>182</v>
      </c>
      <c r="O9" s="9" t="s">
        <v>199</v>
      </c>
      <c r="P9" s="9" t="s">
        <v>215</v>
      </c>
      <c r="Q9" s="9" t="s">
        <v>231</v>
      </c>
      <c r="R9" s="9" t="s">
        <v>244</v>
      </c>
      <c r="S9" s="9" t="s">
        <v>245</v>
      </c>
      <c r="T9" s="10" t="s">
        <v>249</v>
      </c>
      <c r="U9" s="6" t="s">
        <v>262</v>
      </c>
      <c r="V9" s="6" t="s">
        <v>262</v>
      </c>
      <c r="W9" s="6" t="s">
        <v>263</v>
      </c>
      <c r="X9" s="6" t="s">
        <v>263</v>
      </c>
      <c r="Y9" s="6" t="s">
        <v>264</v>
      </c>
      <c r="Z9" s="6" t="s">
        <v>266</v>
      </c>
      <c r="AA9" s="6" t="s">
        <v>245</v>
      </c>
      <c r="AB9" s="6" t="s">
        <v>266</v>
      </c>
    </row>
    <row r="10" spans="1:29" s="6" customFormat="1" ht="388.8" x14ac:dyDescent="0.3">
      <c r="A10" s="12" t="s">
        <v>30</v>
      </c>
      <c r="B10" s="12">
        <v>3</v>
      </c>
      <c r="C10" s="3" t="s">
        <v>286</v>
      </c>
      <c r="D10" s="12" t="s">
        <v>48</v>
      </c>
      <c r="E10" s="12" t="s">
        <v>68</v>
      </c>
      <c r="F10" s="12" t="s">
        <v>81</v>
      </c>
      <c r="G10" s="12" t="s">
        <v>99</v>
      </c>
      <c r="H10" s="12" t="s">
        <v>110</v>
      </c>
      <c r="I10" s="12" t="s">
        <v>119</v>
      </c>
      <c r="J10" s="12" t="s">
        <v>131</v>
      </c>
      <c r="K10" s="12" t="s">
        <v>143</v>
      </c>
      <c r="L10" s="12" t="s">
        <v>151</v>
      </c>
      <c r="M10" s="12" t="s">
        <v>169</v>
      </c>
      <c r="N10" s="12" t="s">
        <v>184</v>
      </c>
      <c r="O10" s="12" t="s">
        <v>201</v>
      </c>
      <c r="P10" s="12" t="s">
        <v>217</v>
      </c>
      <c r="Q10" s="12" t="s">
        <v>233</v>
      </c>
      <c r="R10" s="12" t="s">
        <v>244</v>
      </c>
      <c r="S10" s="12" t="s">
        <v>245</v>
      </c>
      <c r="T10" s="13" t="s">
        <v>251</v>
      </c>
      <c r="U10" s="8" t="s">
        <v>262</v>
      </c>
      <c r="V10" s="8" t="s">
        <v>262</v>
      </c>
      <c r="W10" s="8" t="s">
        <v>263</v>
      </c>
      <c r="X10" s="8" t="s">
        <v>263</v>
      </c>
      <c r="Y10" s="8" t="s">
        <v>264</v>
      </c>
      <c r="Z10" s="8" t="s">
        <v>266</v>
      </c>
      <c r="AA10" s="8" t="s">
        <v>245</v>
      </c>
      <c r="AB10" s="8" t="s">
        <v>266</v>
      </c>
    </row>
    <row r="11" spans="1:29" s="8" customFormat="1" ht="115.8" customHeight="1" x14ac:dyDescent="0.3">
      <c r="A11" s="12" t="s">
        <v>31</v>
      </c>
      <c r="B11" s="12">
        <v>3</v>
      </c>
      <c r="C11" s="3" t="s">
        <v>286</v>
      </c>
      <c r="D11" s="12" t="s">
        <v>49</v>
      </c>
      <c r="E11" s="12" t="s">
        <v>69</v>
      </c>
      <c r="F11" s="12" t="s">
        <v>82</v>
      </c>
      <c r="G11" s="12" t="s">
        <v>100</v>
      </c>
      <c r="H11" s="12" t="s">
        <v>111</v>
      </c>
      <c r="I11" s="12" t="s">
        <v>120</v>
      </c>
      <c r="J11" s="12" t="s">
        <v>132</v>
      </c>
      <c r="K11" s="12" t="s">
        <v>144</v>
      </c>
      <c r="L11" s="12" t="s">
        <v>152</v>
      </c>
      <c r="M11" s="12" t="s">
        <v>170</v>
      </c>
      <c r="N11" s="12" t="s">
        <v>185</v>
      </c>
      <c r="O11" s="12" t="s">
        <v>202</v>
      </c>
      <c r="P11" s="12" t="s">
        <v>218</v>
      </c>
      <c r="Q11" s="12" t="s">
        <v>234</v>
      </c>
      <c r="R11" s="12" t="s">
        <v>244</v>
      </c>
      <c r="S11" s="12" t="s">
        <v>245</v>
      </c>
      <c r="T11" s="13" t="s">
        <v>252</v>
      </c>
      <c r="U11" s="8" t="s">
        <v>262</v>
      </c>
      <c r="V11" s="8" t="s">
        <v>262</v>
      </c>
      <c r="W11" s="8" t="s">
        <v>263</v>
      </c>
      <c r="X11" s="8" t="s">
        <v>263</v>
      </c>
      <c r="Y11" s="8" t="s">
        <v>264</v>
      </c>
      <c r="Z11" s="8" t="s">
        <v>266</v>
      </c>
      <c r="AA11" s="8" t="s">
        <v>245</v>
      </c>
      <c r="AB11" s="8" t="s">
        <v>266</v>
      </c>
    </row>
    <row r="12" spans="1:29" s="5" customFormat="1" ht="187.2" x14ac:dyDescent="0.3">
      <c r="A12" s="14"/>
      <c r="B12" s="14">
        <v>1</v>
      </c>
      <c r="C12" s="3" t="s">
        <v>287</v>
      </c>
      <c r="D12" s="14" t="s">
        <v>50</v>
      </c>
      <c r="E12" s="14"/>
      <c r="F12" s="14"/>
      <c r="G12" s="14"/>
      <c r="H12" s="14"/>
      <c r="I12" s="14"/>
      <c r="J12" s="14"/>
      <c r="K12" s="14" t="s">
        <v>138</v>
      </c>
      <c r="L12" s="14" t="s">
        <v>153</v>
      </c>
      <c r="M12" s="14" t="s">
        <v>171</v>
      </c>
      <c r="N12" s="14" t="s">
        <v>186</v>
      </c>
      <c r="O12" s="14"/>
      <c r="P12" s="14"/>
      <c r="Q12" s="14"/>
      <c r="R12" s="14"/>
      <c r="S12" s="14"/>
      <c r="T12" s="15"/>
      <c r="U12" s="11"/>
      <c r="V12" s="11"/>
      <c r="W12" s="11"/>
      <c r="X12" s="11"/>
      <c r="Y12" s="11"/>
      <c r="Z12" s="11"/>
      <c r="AA12" s="11"/>
      <c r="AB12" s="11"/>
    </row>
    <row r="13" spans="1:29" s="16" customFormat="1" ht="259.2" x14ac:dyDescent="0.3">
      <c r="A13" s="9" t="s">
        <v>32</v>
      </c>
      <c r="B13" s="9">
        <v>2</v>
      </c>
      <c r="C13" s="3" t="s">
        <v>286</v>
      </c>
      <c r="D13" s="9" t="s">
        <v>270</v>
      </c>
      <c r="E13" s="9"/>
      <c r="F13" s="9"/>
      <c r="G13" s="9"/>
      <c r="H13" s="9"/>
      <c r="I13" s="9"/>
      <c r="J13" s="9"/>
      <c r="K13" s="9" t="s">
        <v>144</v>
      </c>
      <c r="L13" s="9" t="s">
        <v>154</v>
      </c>
      <c r="M13" s="9" t="s">
        <v>271</v>
      </c>
      <c r="N13" s="9" t="s">
        <v>187</v>
      </c>
      <c r="O13" s="9" t="s">
        <v>203</v>
      </c>
      <c r="P13" s="9" t="s">
        <v>219</v>
      </c>
      <c r="Q13" s="9" t="s">
        <v>235</v>
      </c>
      <c r="R13" s="9" t="s">
        <v>244</v>
      </c>
      <c r="S13" s="9" t="s">
        <v>245</v>
      </c>
      <c r="T13" s="10" t="s">
        <v>253</v>
      </c>
      <c r="U13" s="6" t="s">
        <v>262</v>
      </c>
      <c r="V13" s="6" t="s">
        <v>262</v>
      </c>
      <c r="W13" s="6" t="s">
        <v>263</v>
      </c>
      <c r="X13" s="6" t="s">
        <v>263</v>
      </c>
      <c r="Y13" s="6" t="s">
        <v>264</v>
      </c>
      <c r="Z13" s="6" t="s">
        <v>266</v>
      </c>
      <c r="AA13" s="6" t="s">
        <v>245</v>
      </c>
      <c r="AB13" s="6" t="s">
        <v>266</v>
      </c>
    </row>
    <row r="14" spans="1:29" s="8" customFormat="1" ht="409.6" x14ac:dyDescent="0.3">
      <c r="A14" s="12"/>
      <c r="B14" s="12">
        <v>3</v>
      </c>
      <c r="C14" s="3" t="s">
        <v>286</v>
      </c>
      <c r="D14" s="12" t="s">
        <v>51</v>
      </c>
      <c r="E14" s="17" t="s">
        <v>273</v>
      </c>
      <c r="F14" s="12" t="s">
        <v>83</v>
      </c>
      <c r="G14" s="12"/>
      <c r="H14" s="12"/>
      <c r="I14" s="12"/>
      <c r="J14" s="12"/>
      <c r="K14" s="12" t="s">
        <v>138</v>
      </c>
      <c r="L14" s="12" t="s">
        <v>155</v>
      </c>
      <c r="M14" s="12" t="s">
        <v>274</v>
      </c>
      <c r="N14" s="18" t="s">
        <v>272</v>
      </c>
      <c r="O14" s="12"/>
      <c r="P14" s="12"/>
      <c r="Q14" s="12"/>
      <c r="R14" s="12"/>
      <c r="S14" s="12"/>
      <c r="T14" s="13"/>
    </row>
    <row r="15" spans="1:29" s="6" customFormat="1" ht="409.6" x14ac:dyDescent="0.3">
      <c r="A15" s="19" t="s">
        <v>34</v>
      </c>
      <c r="B15" s="19">
        <v>2</v>
      </c>
      <c r="C15" s="3" t="s">
        <v>286</v>
      </c>
      <c r="D15" s="19" t="s">
        <v>53</v>
      </c>
      <c r="E15" s="19"/>
      <c r="F15" s="19" t="s">
        <v>85</v>
      </c>
      <c r="G15" s="19"/>
      <c r="H15" s="19"/>
      <c r="I15" s="19"/>
      <c r="J15" s="19"/>
      <c r="K15" s="19" t="s">
        <v>138</v>
      </c>
      <c r="L15" s="19" t="s">
        <v>157</v>
      </c>
      <c r="M15" s="19" t="s">
        <v>173</v>
      </c>
      <c r="N15" s="19" t="s">
        <v>277</v>
      </c>
      <c r="O15" s="19" t="s">
        <v>204</v>
      </c>
      <c r="P15" s="19" t="s">
        <v>220</v>
      </c>
      <c r="Q15" s="19" t="s">
        <v>236</v>
      </c>
      <c r="R15" s="19" t="s">
        <v>244</v>
      </c>
      <c r="S15" s="19" t="s">
        <v>245</v>
      </c>
      <c r="T15" s="20" t="s">
        <v>254</v>
      </c>
      <c r="U15" s="16" t="s">
        <v>262</v>
      </c>
      <c r="V15" s="16" t="s">
        <v>262</v>
      </c>
      <c r="W15" s="16" t="s">
        <v>263</v>
      </c>
      <c r="X15" s="16" t="s">
        <v>263</v>
      </c>
      <c r="Y15" s="16" t="s">
        <v>264</v>
      </c>
      <c r="Z15" s="16" t="s">
        <v>266</v>
      </c>
      <c r="AA15" s="16" t="s">
        <v>245</v>
      </c>
      <c r="AB15" s="16" t="s">
        <v>266</v>
      </c>
    </row>
    <row r="16" spans="1:29" s="6" customFormat="1" ht="403.2" x14ac:dyDescent="0.3">
      <c r="A16" s="12" t="s">
        <v>35</v>
      </c>
      <c r="B16" s="12">
        <v>3</v>
      </c>
      <c r="C16" s="3" t="s">
        <v>286</v>
      </c>
      <c r="D16" s="12" t="s">
        <v>54</v>
      </c>
      <c r="E16" s="12" t="s">
        <v>70</v>
      </c>
      <c r="F16" s="12" t="s">
        <v>86</v>
      </c>
      <c r="G16" s="12" t="s">
        <v>101</v>
      </c>
      <c r="H16" s="12"/>
      <c r="I16" s="17" t="s">
        <v>121</v>
      </c>
      <c r="J16" s="12" t="s">
        <v>133</v>
      </c>
      <c r="K16" s="12" t="s">
        <v>138</v>
      </c>
      <c r="L16" s="12" t="s">
        <v>158</v>
      </c>
      <c r="M16" s="12" t="s">
        <v>174</v>
      </c>
      <c r="N16" s="17" t="s">
        <v>278</v>
      </c>
      <c r="O16" s="12" t="s">
        <v>205</v>
      </c>
      <c r="P16" s="12" t="s">
        <v>221</v>
      </c>
      <c r="Q16" s="12" t="s">
        <v>237</v>
      </c>
      <c r="R16" s="12" t="s">
        <v>244</v>
      </c>
      <c r="S16" s="12" t="s">
        <v>245</v>
      </c>
      <c r="T16" s="13" t="s">
        <v>255</v>
      </c>
      <c r="U16" s="8" t="s">
        <v>262</v>
      </c>
      <c r="V16" s="8" t="s">
        <v>262</v>
      </c>
      <c r="W16" s="8" t="s">
        <v>263</v>
      </c>
      <c r="X16" s="8" t="s">
        <v>263</v>
      </c>
      <c r="Y16" s="8" t="s">
        <v>264</v>
      </c>
      <c r="Z16" s="8" t="s">
        <v>266</v>
      </c>
      <c r="AA16" s="8" t="s">
        <v>245</v>
      </c>
      <c r="AB16" s="8" t="s">
        <v>266</v>
      </c>
    </row>
    <row r="17" spans="1:28" s="11" customFormat="1" ht="374.4" x14ac:dyDescent="0.3">
      <c r="A17" s="9" t="s">
        <v>36</v>
      </c>
      <c r="B17" s="9">
        <v>2</v>
      </c>
      <c r="C17" s="3" t="s">
        <v>286</v>
      </c>
      <c r="D17" s="9" t="s">
        <v>55</v>
      </c>
      <c r="E17" s="9" t="s">
        <v>71</v>
      </c>
      <c r="F17" s="9" t="s">
        <v>87</v>
      </c>
      <c r="G17" s="9" t="s">
        <v>102</v>
      </c>
      <c r="H17" s="9"/>
      <c r="I17" s="21" t="s">
        <v>122</v>
      </c>
      <c r="J17" s="9" t="s">
        <v>134</v>
      </c>
      <c r="K17" s="9" t="s">
        <v>138</v>
      </c>
      <c r="L17" s="9" t="s">
        <v>159</v>
      </c>
      <c r="M17" s="9" t="s">
        <v>279</v>
      </c>
      <c r="N17" s="9" t="s">
        <v>188</v>
      </c>
      <c r="O17" s="9" t="s">
        <v>206</v>
      </c>
      <c r="P17" s="9" t="s">
        <v>222</v>
      </c>
      <c r="Q17" s="9" t="s">
        <v>238</v>
      </c>
      <c r="R17" s="9" t="s">
        <v>244</v>
      </c>
      <c r="S17" s="9" t="s">
        <v>245</v>
      </c>
      <c r="T17" s="10" t="s">
        <v>256</v>
      </c>
      <c r="U17" s="6" t="s">
        <v>262</v>
      </c>
      <c r="V17" s="6" t="s">
        <v>262</v>
      </c>
      <c r="W17" s="6" t="s">
        <v>263</v>
      </c>
      <c r="X17" s="6" t="s">
        <v>263</v>
      </c>
      <c r="Y17" s="6" t="s">
        <v>264</v>
      </c>
      <c r="Z17" s="6" t="s">
        <v>266</v>
      </c>
      <c r="AA17" s="6" t="s">
        <v>245</v>
      </c>
      <c r="AB17" s="6" t="s">
        <v>266</v>
      </c>
    </row>
    <row r="18" spans="1:28" s="8" customFormat="1" ht="345.6" x14ac:dyDescent="0.3">
      <c r="A18" s="9" t="s">
        <v>37</v>
      </c>
      <c r="B18" s="9">
        <v>2</v>
      </c>
      <c r="C18" s="3" t="s">
        <v>286</v>
      </c>
      <c r="D18" s="9" t="s">
        <v>56</v>
      </c>
      <c r="E18" s="9" t="s">
        <v>72</v>
      </c>
      <c r="F18" s="9" t="s">
        <v>88</v>
      </c>
      <c r="G18" s="9" t="s">
        <v>103</v>
      </c>
      <c r="H18" s="9"/>
      <c r="I18" s="21" t="s">
        <v>123</v>
      </c>
      <c r="J18" s="9" t="s">
        <v>135</v>
      </c>
      <c r="K18" s="9" t="s">
        <v>138</v>
      </c>
      <c r="L18" s="9" t="s">
        <v>160</v>
      </c>
      <c r="M18" s="9" t="s">
        <v>280</v>
      </c>
      <c r="N18" s="9" t="s">
        <v>189</v>
      </c>
      <c r="O18" s="9" t="s">
        <v>207</v>
      </c>
      <c r="P18" s="9" t="s">
        <v>223</v>
      </c>
      <c r="Q18" s="9" t="s">
        <v>239</v>
      </c>
      <c r="R18" s="9" t="s">
        <v>244</v>
      </c>
      <c r="S18" s="9" t="s">
        <v>245</v>
      </c>
      <c r="T18" s="10" t="s">
        <v>257</v>
      </c>
      <c r="U18" s="6" t="s">
        <v>262</v>
      </c>
      <c r="V18" s="6" t="s">
        <v>262</v>
      </c>
      <c r="W18" s="6" t="s">
        <v>263</v>
      </c>
      <c r="X18" s="6" t="s">
        <v>263</v>
      </c>
      <c r="Y18" s="6" t="s">
        <v>264</v>
      </c>
      <c r="Z18" s="6" t="s">
        <v>266</v>
      </c>
      <c r="AA18" s="6" t="s">
        <v>245</v>
      </c>
      <c r="AB18" s="6" t="s">
        <v>266</v>
      </c>
    </row>
    <row r="19" spans="1:28" s="8" customFormat="1" ht="409.6" x14ac:dyDescent="0.3">
      <c r="A19" s="14" t="s">
        <v>38</v>
      </c>
      <c r="B19" s="14">
        <v>2</v>
      </c>
      <c r="C19" s="3" t="s">
        <v>286</v>
      </c>
      <c r="D19" s="14" t="s">
        <v>57</v>
      </c>
      <c r="E19" s="14" t="s">
        <v>73</v>
      </c>
      <c r="F19" s="14" t="s">
        <v>89</v>
      </c>
      <c r="G19" s="14" t="s">
        <v>104</v>
      </c>
      <c r="H19" s="14"/>
      <c r="I19" s="22" t="s">
        <v>124</v>
      </c>
      <c r="J19" s="14" t="s">
        <v>136</v>
      </c>
      <c r="K19" s="14" t="s">
        <v>138</v>
      </c>
      <c r="L19" s="14" t="s">
        <v>161</v>
      </c>
      <c r="M19" s="14" t="s">
        <v>281</v>
      </c>
      <c r="N19" s="14" t="s">
        <v>190</v>
      </c>
      <c r="O19" s="14" t="s">
        <v>208</v>
      </c>
      <c r="P19" s="14" t="s">
        <v>224</v>
      </c>
      <c r="Q19" s="14" t="s">
        <v>240</v>
      </c>
      <c r="R19" s="14" t="s">
        <v>244</v>
      </c>
      <c r="S19" s="14" t="s">
        <v>245</v>
      </c>
      <c r="T19" s="15" t="s">
        <v>258</v>
      </c>
      <c r="U19" s="11" t="s">
        <v>262</v>
      </c>
      <c r="V19" s="11" t="s">
        <v>262</v>
      </c>
      <c r="W19" s="11" t="s">
        <v>263</v>
      </c>
      <c r="X19" s="11" t="s">
        <v>263</v>
      </c>
      <c r="Y19" s="11" t="s">
        <v>264</v>
      </c>
      <c r="Z19" s="11" t="s">
        <v>266</v>
      </c>
      <c r="AA19" s="11" t="s">
        <v>245</v>
      </c>
      <c r="AB19" s="11" t="s">
        <v>266</v>
      </c>
    </row>
    <row r="20" spans="1:28" s="5" customFormat="1" ht="345.6" x14ac:dyDescent="0.3">
      <c r="A20" s="12" t="s">
        <v>39</v>
      </c>
      <c r="B20" s="12">
        <v>3</v>
      </c>
      <c r="C20" s="3" t="s">
        <v>286</v>
      </c>
      <c r="D20" s="12" t="s">
        <v>58</v>
      </c>
      <c r="E20" s="12" t="s">
        <v>74</v>
      </c>
      <c r="F20" s="12" t="s">
        <v>90</v>
      </c>
      <c r="G20" s="12" t="s">
        <v>105</v>
      </c>
      <c r="H20" s="12" t="s">
        <v>112</v>
      </c>
      <c r="I20" s="12" t="s">
        <v>125</v>
      </c>
      <c r="J20" s="12" t="s">
        <v>137</v>
      </c>
      <c r="K20" s="12" t="s">
        <v>145</v>
      </c>
      <c r="L20" s="12" t="s">
        <v>162</v>
      </c>
      <c r="M20" s="12" t="s">
        <v>175</v>
      </c>
      <c r="N20" s="12" t="s">
        <v>191</v>
      </c>
      <c r="O20" s="12" t="s">
        <v>209</v>
      </c>
      <c r="P20" s="12" t="s">
        <v>225</v>
      </c>
      <c r="Q20" s="12" t="s">
        <v>241</v>
      </c>
      <c r="R20" s="12" t="s">
        <v>244</v>
      </c>
      <c r="S20" s="12" t="s">
        <v>245</v>
      </c>
      <c r="T20" s="13" t="s">
        <v>259</v>
      </c>
      <c r="U20" s="8" t="s">
        <v>262</v>
      </c>
      <c r="V20" s="8" t="s">
        <v>262</v>
      </c>
      <c r="W20" s="8" t="s">
        <v>263</v>
      </c>
      <c r="X20" s="8" t="s">
        <v>263</v>
      </c>
      <c r="Y20" s="8" t="s">
        <v>264</v>
      </c>
      <c r="Z20" s="8" t="s">
        <v>266</v>
      </c>
      <c r="AA20" s="8" t="s">
        <v>245</v>
      </c>
      <c r="AB20" s="8" t="s">
        <v>266</v>
      </c>
    </row>
    <row r="21" spans="1:28" s="8" customFormat="1" ht="345.6" x14ac:dyDescent="0.3">
      <c r="A21" s="12" t="s">
        <v>40</v>
      </c>
      <c r="B21" s="12">
        <v>3</v>
      </c>
      <c r="C21" s="3" t="s">
        <v>286</v>
      </c>
      <c r="D21" s="12" t="s">
        <v>58</v>
      </c>
      <c r="E21" s="12" t="s">
        <v>75</v>
      </c>
      <c r="F21" s="12" t="s">
        <v>91</v>
      </c>
      <c r="G21" s="12" t="s">
        <v>106</v>
      </c>
      <c r="H21" s="12" t="s">
        <v>113</v>
      </c>
      <c r="I21" s="12" t="s">
        <v>126</v>
      </c>
      <c r="J21" s="12" t="s">
        <v>137</v>
      </c>
      <c r="K21" s="12" t="s">
        <v>145</v>
      </c>
      <c r="L21" s="12" t="s">
        <v>163</v>
      </c>
      <c r="M21" s="12" t="s">
        <v>176</v>
      </c>
      <c r="N21" s="12" t="s">
        <v>191</v>
      </c>
      <c r="O21" s="12" t="s">
        <v>210</v>
      </c>
      <c r="P21" s="12" t="s">
        <v>226</v>
      </c>
      <c r="Q21" s="12" t="s">
        <v>242</v>
      </c>
      <c r="R21" s="12" t="s">
        <v>244</v>
      </c>
      <c r="S21" s="12" t="s">
        <v>245</v>
      </c>
      <c r="T21" s="13" t="s">
        <v>260</v>
      </c>
      <c r="U21" s="8" t="s">
        <v>262</v>
      </c>
      <c r="V21" s="8" t="s">
        <v>262</v>
      </c>
      <c r="W21" s="8" t="s">
        <v>263</v>
      </c>
      <c r="X21" s="8" t="s">
        <v>263</v>
      </c>
      <c r="Y21" s="8" t="s">
        <v>264</v>
      </c>
      <c r="Z21" s="8" t="s">
        <v>266</v>
      </c>
      <c r="AA21" s="8" t="s">
        <v>245</v>
      </c>
      <c r="AB21" s="8" t="s">
        <v>266</v>
      </c>
    </row>
    <row r="22" spans="1:28" ht="230.4" x14ac:dyDescent="0.3">
      <c r="A22" s="12" t="s">
        <v>42</v>
      </c>
      <c r="B22" s="12">
        <v>3</v>
      </c>
      <c r="C22" s="3" t="s">
        <v>286</v>
      </c>
      <c r="D22" s="12" t="s">
        <v>60</v>
      </c>
      <c r="E22" s="12"/>
      <c r="F22" s="12" t="s">
        <v>92</v>
      </c>
      <c r="G22" s="12"/>
      <c r="H22" s="12"/>
      <c r="I22" s="12"/>
      <c r="J22" s="12"/>
      <c r="K22" s="12" t="s">
        <v>138</v>
      </c>
      <c r="L22" s="12" t="s">
        <v>165</v>
      </c>
      <c r="M22" s="12" t="s">
        <v>177</v>
      </c>
      <c r="N22" s="12" t="s">
        <v>193</v>
      </c>
      <c r="O22" s="12"/>
      <c r="P22" s="12"/>
      <c r="Q22" s="12"/>
      <c r="R22" s="12"/>
      <c r="S22" s="12"/>
      <c r="T22" s="13"/>
      <c r="U22" s="8"/>
      <c r="V22" s="8"/>
      <c r="W22" s="8"/>
      <c r="X22" s="8"/>
      <c r="Y22" s="8"/>
      <c r="Z22" s="8"/>
      <c r="AA22" s="8"/>
      <c r="AB22" s="8"/>
    </row>
    <row r="23" spans="1:28" s="5" customFormat="1" ht="216" x14ac:dyDescent="0.3">
      <c r="A23" s="1"/>
      <c r="B23" s="1">
        <v>1</v>
      </c>
      <c r="C23" s="3" t="s">
        <v>286</v>
      </c>
      <c r="D23" s="1" t="s">
        <v>61</v>
      </c>
      <c r="E23" s="1"/>
      <c r="F23" s="1" t="s">
        <v>93</v>
      </c>
      <c r="G23" s="1"/>
      <c r="H23" s="1"/>
      <c r="I23" s="1"/>
      <c r="J23" s="1"/>
      <c r="K23" s="1" t="s">
        <v>138</v>
      </c>
      <c r="L23" s="1" t="s">
        <v>166</v>
      </c>
      <c r="M23" s="1" t="s">
        <v>178</v>
      </c>
      <c r="N23" s="1" t="s">
        <v>194</v>
      </c>
      <c r="O23" s="1"/>
      <c r="P23" s="1"/>
      <c r="Q23" s="1"/>
      <c r="R23" s="1"/>
      <c r="S23" s="1"/>
      <c r="T23" s="2"/>
      <c r="U23"/>
      <c r="V23"/>
      <c r="W23"/>
      <c r="X23"/>
      <c r="Y23"/>
      <c r="Z23"/>
      <c r="AA23"/>
      <c r="AB23"/>
    </row>
    <row r="26" spans="1:28" x14ac:dyDescent="0.3">
      <c r="L26" s="24"/>
    </row>
    <row r="49" spans="11:11" x14ac:dyDescent="0.3">
      <c r="K49" s="1">
        <f>900*0.3</f>
        <v>270</v>
      </c>
    </row>
    <row r="57" spans="11:11" x14ac:dyDescent="0.3">
      <c r="K57" s="1">
        <f>1800*0.3</f>
        <v>540</v>
      </c>
    </row>
  </sheetData>
  <hyperlinks>
    <hyperlink ref="E14" r:id="rId1" xr:uid="{0A413A4E-9EA6-4795-A872-CCDE41FC3951}"/>
    <hyperlink ref="I16" r:id="rId2" xr:uid="{87EA8C0A-9DE6-4D2F-A66F-7E323E31CE6C}"/>
    <hyperlink ref="N16" r:id="rId3" xr:uid="{2DD8FD3E-058C-4D39-A930-99F5A434831D}"/>
    <hyperlink ref="I17" r:id="rId4" xr:uid="{74E1C303-0FBC-43D5-8908-7B19D3EF7B21}"/>
    <hyperlink ref="I18" r:id="rId5" xr:uid="{B5119282-94ED-4306-BEB6-34A280435005}"/>
    <hyperlink ref="I19" r:id="rId6" xr:uid="{7775A908-B1B5-407A-8969-0B7C9C1ACEE6}"/>
    <hyperlink ref="I6" r:id="rId7" xr:uid="{D000A353-EA78-4FC8-976D-20DF87AA9B34}"/>
    <hyperlink ref="I2" r:id="rId8" xr:uid="{235E25E3-1A07-46E5-A6B2-7908EEF330DB}"/>
    <hyperlink ref="I3" r:id="rId9" xr:uid="{96E98597-82A1-405B-A6A2-11D017A45D78}"/>
    <hyperlink ref="I4" r:id="rId10" xr:uid="{C3341EC1-6A28-45AC-9FE9-2647CDAD4FA6}"/>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Iñaki Senar</cp:lastModifiedBy>
  <dcterms:created xsi:type="dcterms:W3CDTF">2026-05-25T15:21:01Z</dcterms:created>
  <dcterms:modified xsi:type="dcterms:W3CDTF">2026-06-03T07:55:31Z</dcterms:modified>
</cp:coreProperties>
</file>